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A" sheetId="1" state="visible" r:id="rId1"/>
    <sheet name="Diffie-Hellman" sheetId="2" state="visible" r:id="rId2"/>
    <sheet name="Classical Ciphers" sheetId="3" state="visible" r:id="rId3"/>
    <sheet name="Hashing &amp; HMAC" sheetId="4" state="visible" r:id="rId4"/>
    <sheet name="ZKP Calculations" sheetId="5" state="visible" r:id="rId5"/>
    <sheet name="Modular Arithme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66666"/>
      <sz val="9"/>
    </font>
    <font>
      <name val="Calibri"/>
      <b val="1"/>
      <sz val="10"/>
    </font>
    <font>
      <name val="Calibri"/>
      <color rgb="000000CC"/>
      <sz val="10"/>
    </font>
    <font>
      <name val="Calibri"/>
      <color rgb="00006600"/>
      <sz val="10"/>
    </font>
  </fonts>
  <fills count="11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1" fillId="6" borderId="0" applyAlignment="1" pivotButton="0" quotePrefix="0" xfId="0">
      <alignment horizontal="center"/>
    </xf>
    <xf numFmtId="0" fontId="3" fillId="5" borderId="1" pivotButton="0" quotePrefix="0" xfId="0"/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9" borderId="0" applyAlignment="1" pivotButton="0" quotePrefix="0" xfId="0">
      <alignment horizontal="center"/>
    </xf>
    <xf numFmtId="164" fontId="5" fillId="5" borderId="1" pivotButton="0" quotePrefix="0" xfId="0"/>
    <xf numFmtId="0" fontId="1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5" customWidth="1" min="3" max="3"/>
    <col width="5" customWidth="1" min="4" max="4"/>
    <col width="28" customWidth="1" min="5" max="5"/>
    <col width="18" customWidth="1" min="6" max="6"/>
    <col width="35" customWidth="1" min="7" max="7"/>
  </cols>
  <sheetData>
    <row r="1">
      <c r="A1" s="1" t="inlineStr">
        <is>
          <t>RSA KEY GENERATION</t>
        </is>
      </c>
      <c r="E1" s="1" t="inlineStr">
        <is>
          <t>RSA ENCRYPT / DECRYPT</t>
        </is>
      </c>
    </row>
    <row r="2">
      <c r="A2" s="2" t="inlineStr">
        <is>
          <t>Enter values in BLUE cells. Results appear in GREEN cells.</t>
        </is>
      </c>
    </row>
    <row r="3">
      <c r="A3" s="3" t="inlineStr">
        <is>
          <t>Step 1: Choose two primes</t>
        </is>
      </c>
      <c r="E3" s="3" t="inlineStr">
        <is>
          <t>ENCRYPTION: c = m^e mod n</t>
        </is>
      </c>
    </row>
    <row r="4">
      <c r="A4" s="3" t="inlineStr">
        <is>
          <t>p (first prime)</t>
        </is>
      </c>
      <c r="B4" s="4" t="n">
        <v>61</v>
      </c>
      <c r="C4" s="2" t="inlineStr">
        <is>
          <t>Pick a prime number</t>
        </is>
      </c>
      <c r="E4" s="3" t="inlineStr">
        <is>
          <t>Message (m)</t>
        </is>
      </c>
      <c r="F4" s="4" t="n">
        <v>65</v>
      </c>
      <c r="G4" s="2" t="inlineStr">
        <is>
          <t>Must be &lt; n. (65 = ASCII 'A')</t>
        </is>
      </c>
    </row>
    <row r="5">
      <c r="A5" s="3" t="inlineStr">
        <is>
          <t>q (second prime)</t>
        </is>
      </c>
      <c r="B5" s="4" t="n">
        <v>53</v>
      </c>
      <c r="C5" s="2" t="inlineStr">
        <is>
          <t>Pick a different prime</t>
        </is>
      </c>
      <c r="E5" s="3" t="inlineStr">
        <is>
          <t>Ciphertext (c)</t>
        </is>
      </c>
      <c r="F5" s="5">
        <f>MOD(POWER(F4,B8),B6)</f>
        <v/>
      </c>
      <c r="G5" s="2" t="inlineStr">
        <is>
          <t>c = m^e mod n</t>
        </is>
      </c>
    </row>
    <row r="6">
      <c r="A6" s="3" t="inlineStr">
        <is>
          <t>Step 2: Compute n = p × q</t>
        </is>
      </c>
      <c r="B6" s="5">
        <f>B4*B5</f>
        <v/>
      </c>
      <c r="C6" s="2" t="inlineStr">
        <is>
          <t>n is part of both public and private key</t>
        </is>
      </c>
    </row>
    <row r="7">
      <c r="A7" s="3" t="inlineStr">
        <is>
          <t>Step 3: Compute φ(n) = (p-1)(q-1)</t>
        </is>
      </c>
      <c r="B7" s="5">
        <f>(B4-1)*(B5-1)</f>
        <v/>
      </c>
      <c r="C7" s="2" t="inlineStr">
        <is>
          <t>Euler's totient function</t>
        </is>
      </c>
      <c r="E7" s="3" t="inlineStr">
        <is>
          <t>DECRYPTION: m = c^d mod n</t>
        </is>
      </c>
    </row>
    <row r="8">
      <c r="A8" s="3" t="inlineStr">
        <is>
          <t>Step 4: Choose e (coprime to φ)</t>
        </is>
      </c>
      <c r="B8" s="4" t="n">
        <v>17</v>
      </c>
      <c r="C8" s="2" t="inlineStr">
        <is>
          <t>1 &lt; e &lt; φ(n), GCD(e, φ(n)) = 1. Common: 17, 65537</t>
        </is>
      </c>
      <c r="E8" s="3" t="inlineStr">
        <is>
          <t>Ciphertext (c)</t>
        </is>
      </c>
      <c r="F8" s="5">
        <f>F5</f>
        <v/>
      </c>
    </row>
    <row r="9">
      <c r="A9" s="3" t="inlineStr">
        <is>
          <t>GCD(e, φ(n)) check</t>
        </is>
      </c>
      <c r="B9" s="5">
        <f>GCD(B8,B7)</f>
        <v/>
      </c>
      <c r="C9" s="2" t="inlineStr">
        <is>
          <t>Must equal 1 for valid e</t>
        </is>
      </c>
      <c r="E9" s="3" t="inlineStr">
        <is>
          <t>Decrypted message (m)</t>
        </is>
      </c>
      <c r="G9" s="2" t="inlineStr">
        <is>
          <t>m = c^d mod n (Excel may overflow for large numbers)</t>
        </is>
      </c>
    </row>
    <row r="10">
      <c r="A10" s="3" t="inlineStr">
        <is>
          <t>Step 5: Compute d = e⁻¹ mod φ(n)</t>
        </is>
      </c>
      <c r="C10" s="2" t="inlineStr">
        <is>
          <t>d × e ≡ 1 (mod φ(n)). Use extended Euclidean or trial.</t>
        </is>
      </c>
      <c r="E10" s="2" t="inlineStr">
        <is>
          <t>For large numbers, use repeated squaring or Python</t>
        </is>
      </c>
    </row>
    <row r="11">
      <c r="A11" s="3" t="inlineStr">
        <is>
          <t>d (private exponent)</t>
        </is>
      </c>
      <c r="B11" s="4" t="n">
        <v>2753</v>
      </c>
      <c r="C11" s="2" t="inlineStr">
        <is>
          <t>Verify: d × e mod φ(n) should = 1</t>
        </is>
      </c>
    </row>
    <row r="12">
      <c r="A12" s="3" t="inlineStr">
        <is>
          <t>Verify: d × e mod φ(n)</t>
        </is>
      </c>
      <c r="B12" s="5">
        <f>MOD(B11*B8,B7)</f>
        <v/>
      </c>
      <c r="C12" s="2" t="inlineStr">
        <is>
          <t>Must equal 1 ✓</t>
        </is>
      </c>
      <c r="E12" s="6" t="inlineStr">
        <is>
          <t>DIGITAL SIGNATURE</t>
        </is>
      </c>
    </row>
    <row r="13">
      <c r="E13" s="3" t="inlineStr">
        <is>
          <t>Sign: signature = m^d mod n</t>
        </is>
      </c>
    </row>
    <row r="14">
      <c r="A14" s="3" t="inlineStr">
        <is>
          <t>PUBLIC KEY</t>
        </is>
      </c>
      <c r="B14" s="7">
        <f>(n, e)</f>
        <v/>
      </c>
      <c r="C14" s="2" t="inlineStr">
        <is>
          <t>Share publicly. n=B6, e=B8</t>
        </is>
      </c>
      <c r="E14" s="3" t="inlineStr">
        <is>
          <t>Message to sign (m)</t>
        </is>
      </c>
      <c r="F14" s="4" t="n">
        <v>42</v>
      </c>
    </row>
    <row r="15">
      <c r="A15" s="3" t="inlineStr">
        <is>
          <t xml:space="preserve">  n =</t>
        </is>
      </c>
      <c r="B15" s="5">
        <f>B6</f>
        <v/>
      </c>
      <c r="E15" s="3" t="inlineStr">
        <is>
          <t>Signature (s)</t>
        </is>
      </c>
      <c r="F15" s="5">
        <f>MOD(POWER(F14,B11),B6)</f>
        <v/>
      </c>
      <c r="G15" s="2" t="inlineStr">
        <is>
          <t>Sign with PRIVATE key (d)</t>
        </is>
      </c>
    </row>
    <row r="16">
      <c r="A16" s="3" t="inlineStr">
        <is>
          <t xml:space="preserve">  e =</t>
        </is>
      </c>
      <c r="B16" s="5">
        <f>B8</f>
        <v/>
      </c>
      <c r="E16" s="3" t="inlineStr">
        <is>
          <t>Verify: m = s^e mod n</t>
        </is>
      </c>
      <c r="F16" s="5">
        <f>MOD(POWER(F15,B8),B6)</f>
        <v/>
      </c>
      <c r="G16" s="2" t="inlineStr">
        <is>
          <t>Verify with PUBLIC key (e). Should = original m</t>
        </is>
      </c>
    </row>
    <row r="17">
      <c r="A17" s="3" t="inlineStr">
        <is>
          <t>PRIVATE KEY</t>
        </is>
      </c>
      <c r="B17" s="7">
        <f>(n, d)</f>
        <v/>
      </c>
      <c r="C17" s="2" t="inlineStr">
        <is>
          <t>Keep secret! n=B6, d=B11</t>
        </is>
      </c>
    </row>
    <row r="18">
      <c r="A18" s="3" t="inlineStr">
        <is>
          <t xml:space="preserve">  n =</t>
        </is>
      </c>
      <c r="B18" s="5">
        <f>B6</f>
        <v/>
      </c>
    </row>
    <row r="19">
      <c r="A19" s="3" t="inlineStr">
        <is>
          <t xml:space="preserve">  d =</t>
        </is>
      </c>
      <c r="B19" s="5">
        <f>B11</f>
        <v/>
      </c>
    </row>
  </sheetData>
  <mergeCells count="5">
    <mergeCell ref="E10:G10"/>
    <mergeCell ref="A1:C1"/>
    <mergeCell ref="E12:G12"/>
    <mergeCell ref="A2:C2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6" t="inlineStr">
        <is>
          <t>DIFFIE-HELLMAN KEY EXCHANGE</t>
        </is>
      </c>
    </row>
    <row r="2">
      <c r="A2" s="2" t="inlineStr">
        <is>
          <t>Enter values in BLUE cells. Both parties arrive at the SAME shared secret.</t>
        </is>
      </c>
    </row>
    <row r="3">
      <c r="A3" s="3" t="inlineStr">
        <is>
          <t>PUBLIC PARAMETERS (agreed upon)</t>
        </is>
      </c>
    </row>
    <row r="4">
      <c r="A4" s="3" t="inlineStr">
        <is>
          <t>p (large prime)</t>
        </is>
      </c>
      <c r="B4" s="4" t="n">
        <v>23</v>
      </c>
      <c r="C4" s="2" t="inlineStr">
        <is>
          <t>Both parties agree on this prime</t>
        </is>
      </c>
    </row>
    <row r="5">
      <c r="A5" s="3" t="inlineStr">
        <is>
          <t>g (generator / primitive root)</t>
        </is>
      </c>
      <c r="B5" s="4" t="n">
        <v>5</v>
      </c>
      <c r="C5" s="2" t="inlineStr">
        <is>
          <t>Both parties agree on this generator, g &lt; p</t>
        </is>
      </c>
    </row>
    <row r="7">
      <c r="A7" s="3" t="inlineStr">
        <is>
          <t>ALICE'S SIDE</t>
        </is>
      </c>
    </row>
    <row r="8">
      <c r="A8" s="3" t="inlineStr">
        <is>
          <t>a (Alice's secret)</t>
        </is>
      </c>
      <c r="B8" s="4" t="n">
        <v>6</v>
      </c>
      <c r="C8" s="2" t="inlineStr">
        <is>
          <t>Alice's private random number. NEVER shared.</t>
        </is>
      </c>
    </row>
    <row r="9">
      <c r="A9" s="3" t="inlineStr">
        <is>
          <t>A = g^a mod p (Alice sends to Bob)</t>
        </is>
      </c>
      <c r="B9" s="5">
        <f>MOD(POWER(B5,B8),B4)</f>
        <v/>
      </c>
      <c r="C9" s="2" t="inlineStr">
        <is>
          <t>Alice computes and sends this publicly</t>
        </is>
      </c>
    </row>
    <row r="11">
      <c r="A11" s="3" t="inlineStr">
        <is>
          <t>BOB'S SIDE</t>
        </is>
      </c>
    </row>
    <row r="12">
      <c r="A12" s="3" t="inlineStr">
        <is>
          <t>b (Bob's secret)</t>
        </is>
      </c>
      <c r="B12" s="4" t="n">
        <v>15</v>
      </c>
      <c r="C12" s="2" t="inlineStr">
        <is>
          <t>Bob's private random number. NEVER shared.</t>
        </is>
      </c>
    </row>
    <row r="13">
      <c r="A13" s="3" t="inlineStr">
        <is>
          <t>B = g^b mod p (Bob sends to Alice)</t>
        </is>
      </c>
      <c r="B13" s="5">
        <f>MOD(POWER(B5,B12),B4)</f>
        <v/>
      </c>
      <c r="C13" s="2" t="inlineStr">
        <is>
          <t>Bob computes and sends this publicly</t>
        </is>
      </c>
    </row>
    <row r="15">
      <c r="A15" s="8" t="inlineStr">
        <is>
          <t>SHARED SECRET COMPUTATION</t>
        </is>
      </c>
    </row>
    <row r="16">
      <c r="A16" s="3" t="inlineStr">
        <is>
          <t>Alice computes: s = B^a mod p</t>
        </is>
      </c>
      <c r="B16" s="5">
        <f>MOD(POWER(B13,B8),B4)</f>
        <v/>
      </c>
      <c r="C16" s="2" t="inlineStr">
        <is>
          <t>Alice uses Bob's public value B and her secret a</t>
        </is>
      </c>
    </row>
    <row r="17">
      <c r="A17" s="3" t="inlineStr">
        <is>
          <t>Bob computes: s = A^b mod p</t>
        </is>
      </c>
      <c r="B17" s="5">
        <f>MOD(POWER(B9,B12),B4)</f>
        <v/>
      </c>
      <c r="C17" s="2" t="inlineStr">
        <is>
          <t>Bob uses Alice's public value A and his secret b</t>
        </is>
      </c>
    </row>
    <row r="18">
      <c r="A18" s="3" t="inlineStr">
        <is>
          <t>MATCH? (must be TRUE)</t>
        </is>
      </c>
      <c r="B18" s="5">
        <f>B16=B17</f>
        <v/>
      </c>
      <c r="C18" s="2" t="inlineStr">
        <is>
          <t>Both sides computed g^(ab) mod p — same shared secret!</t>
        </is>
      </c>
    </row>
    <row r="20">
      <c r="A20" s="2" t="inlineStr">
        <is>
          <t>SECURITY: An eavesdropper sees p, g, A, B but NOT a or b.</t>
        </is>
      </c>
    </row>
    <row r="21">
      <c r="A21" s="2" t="inlineStr">
        <is>
          <t>Computing a from A = g^a mod p is the Discrete Logarithm Problem (hard).</t>
        </is>
      </c>
    </row>
    <row r="22">
      <c r="A22" s="2" t="inlineStr">
        <is>
          <t>VULNERABILITY: No authentication — vulnerable to Man-in-the-Middle (MITM).</t>
        </is>
      </c>
    </row>
    <row r="23">
      <c r="A23" s="2" t="inlineStr">
        <is>
          <t>An attacker can intercept A and B, establish separate keys with each party.</t>
        </is>
      </c>
    </row>
  </sheetData>
  <mergeCells count="7">
    <mergeCell ref="A1:C1"/>
    <mergeCell ref="A23:C23"/>
    <mergeCell ref="A22:C22"/>
    <mergeCell ref="A21:C21"/>
    <mergeCell ref="A15:C15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5" customWidth="1" min="4" max="4"/>
    <col width="22" customWidth="1" min="5" max="5"/>
    <col width="18" customWidth="1" min="6" max="6"/>
    <col width="40" customWidth="1" min="7" max="7"/>
  </cols>
  <sheetData>
    <row r="1">
      <c r="A1" s="1" t="inlineStr">
        <is>
          <t>CAESAR CIPHER</t>
        </is>
      </c>
      <c r="E1" s="6" t="inlineStr">
        <is>
          <t>VIGENÈRE CIPHER</t>
        </is>
      </c>
    </row>
    <row r="2">
      <c r="A2" s="2" t="inlineStr">
        <is>
          <t>Shift each letter by a fixed amount. Formula: C = (P + K) mod 26</t>
        </is>
      </c>
      <c r="E2" s="2" t="inlineStr">
        <is>
          <t>Polyalphabetic: different shift per position using keyword</t>
        </is>
      </c>
    </row>
    <row r="3">
      <c r="A3" s="3" t="inlineStr">
        <is>
          <t>Shift Key (K)</t>
        </is>
      </c>
      <c r="B3" s="4" t="n">
        <v>3</v>
      </c>
      <c r="C3" s="2" t="inlineStr">
        <is>
          <t>Number of positions to shift (0-25)</t>
        </is>
      </c>
      <c r="E3" s="3" t="inlineStr">
        <is>
          <t>Keyword</t>
        </is>
      </c>
      <c r="F3" s="4" t="inlineStr">
        <is>
          <t>KEY</t>
        </is>
      </c>
    </row>
    <row r="4">
      <c r="A4" s="3" t="inlineStr">
        <is>
          <t>Plaintext letter (A=0)</t>
        </is>
      </c>
      <c r="B4" s="4" t="inlineStr">
        <is>
          <t>H</t>
        </is>
      </c>
      <c r="E4" s="3" t="inlineStr">
        <is>
          <t>Plaintext</t>
        </is>
      </c>
      <c r="F4" s="4" t="inlineStr">
        <is>
          <t>HELLO</t>
        </is>
      </c>
    </row>
    <row r="5">
      <c r="A5" s="3" t="inlineStr">
        <is>
          <t>P (numeric value)</t>
        </is>
      </c>
      <c r="B5" s="5">
        <f>CODE(UPPER(B4))-65</f>
        <v/>
      </c>
      <c r="C5" s="2" t="inlineStr">
        <is>
          <t>Convert letter to number (A=0, B=1, ...Z=25)</t>
        </is>
      </c>
    </row>
    <row r="6">
      <c r="A6" s="3" t="inlineStr">
        <is>
          <t>C = (P + K) mod 26</t>
        </is>
      </c>
      <c r="B6" s="5">
        <f>MOD(B5+B3,26)</f>
        <v/>
      </c>
      <c r="C6" s="2" t="inlineStr">
        <is>
          <t>Encrypted number</t>
        </is>
      </c>
      <c r="E6" s="2" t="inlineStr">
        <is>
          <t>Each plaintext letter shifted by corresponding keyword letter:</t>
        </is>
      </c>
    </row>
    <row r="7">
      <c r="A7" s="3" t="inlineStr">
        <is>
          <t>Ciphertext letter</t>
        </is>
      </c>
      <c r="B7" s="5">
        <f>CHAR(B6+65)</f>
        <v/>
      </c>
      <c r="C7" s="2" t="inlineStr">
        <is>
          <t>Convert back to letter</t>
        </is>
      </c>
      <c r="E7" s="2" t="inlineStr">
        <is>
          <t>C[i] = (P[i] + K[i mod len(K)]) mod 26</t>
        </is>
      </c>
    </row>
    <row r="8">
      <c r="A8" s="3" t="inlineStr">
        <is>
          <t>DECRYPT: P = (C - K) mod 26</t>
        </is>
      </c>
      <c r="B8" s="5">
        <f>MOD(B6-B3+26,26)</f>
        <v/>
      </c>
      <c r="E8" s="2" t="inlineStr">
        <is>
          <t>H(7)+K(10)=R(17), E(4)+E(4)=I(8), L(11)+Y(24)=J(9)</t>
        </is>
      </c>
    </row>
    <row r="9">
      <c r="A9" s="3" t="inlineStr">
        <is>
          <t>Decrypted letter</t>
        </is>
      </c>
      <c r="B9" s="5">
        <f>CHAR(B8+65)</f>
        <v/>
      </c>
      <c r="C9" s="2" t="inlineStr">
        <is>
          <t>Should match original plaintext</t>
        </is>
      </c>
      <c r="E9" s="2" t="inlineStr">
        <is>
          <t>L(11)+K(10)=V(21), O(14)+E(4)=S(18)</t>
        </is>
      </c>
    </row>
    <row r="10">
      <c r="E10" s="2" t="inlineStr">
        <is>
          <t>Result: "HELLO" → "RIJVS"</t>
        </is>
      </c>
    </row>
    <row r="13">
      <c r="A13" s="9" t="inlineStr">
        <is>
          <t>KEY SPACE &amp; SECURITY CALCULATIONS</t>
        </is>
      </c>
    </row>
    <row r="14">
      <c r="A14" s="3" t="inlineStr">
        <is>
          <t>Key length (bits)</t>
        </is>
      </c>
      <c r="B14" s="4" t="n">
        <v>128</v>
      </c>
      <c r="E14" s="3" t="inlineStr">
        <is>
          <t>Key space = 2^n</t>
        </is>
      </c>
      <c r="F14" s="5">
        <f>POWER(2,B14)</f>
        <v/>
      </c>
    </row>
    <row r="15">
      <c r="A15" s="3" t="inlineStr">
        <is>
          <t>DES key space (56-bit)</t>
        </is>
      </c>
      <c r="B15" s="5">
        <f>POWER(2,56)</f>
        <v/>
      </c>
      <c r="E15" s="3" t="inlineStr">
        <is>
          <t>AES-128 key space</t>
        </is>
      </c>
      <c r="F15" s="5">
        <f>POWER(2,128)</f>
        <v/>
      </c>
    </row>
    <row r="16">
      <c r="A16" s="3" t="inlineStr">
        <is>
          <t>AES-256 key space</t>
        </is>
      </c>
      <c r="B16" s="5">
        <f>POWER(2,256)</f>
        <v/>
      </c>
      <c r="E16" s="3" t="inlineStr">
        <is>
          <t>Post-quantum AES-256</t>
        </is>
      </c>
      <c r="F16" s="5">
        <f>POWER(2,128)</f>
        <v/>
      </c>
      <c r="G16" s="2" t="inlineStr">
        <is>
          <t>Grover's halves: 256→128</t>
        </is>
      </c>
    </row>
    <row r="18">
      <c r="A18" s="3" t="inlineStr">
        <is>
          <t>N users (symmetric)</t>
        </is>
      </c>
      <c r="B18" s="4" t="n">
        <v>100</v>
      </c>
      <c r="E18" s="3" t="inlineStr">
        <is>
          <t>Keys needed = N(N-1)/2</t>
        </is>
      </c>
      <c r="F18" s="5">
        <f>B18*(B18-1)/2</f>
        <v/>
      </c>
    </row>
  </sheetData>
  <mergeCells count="10">
    <mergeCell ref="A13:G13"/>
    <mergeCell ref="E10:G10"/>
    <mergeCell ref="E2:G2"/>
    <mergeCell ref="A1:C1"/>
    <mergeCell ref="E8:G8"/>
    <mergeCell ref="E9:G9"/>
    <mergeCell ref="E6:G6"/>
    <mergeCell ref="E7:G7"/>
    <mergeCell ref="A2:C2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</cols>
  <sheetData>
    <row r="1">
      <c r="A1" s="8" t="inlineStr">
        <is>
          <t>HASHING FUNCTIONS REFERENCE</t>
        </is>
      </c>
    </row>
    <row r="3">
      <c r="A3" s="3" t="inlineStr">
        <is>
          <t>Algorithm</t>
        </is>
      </c>
      <c r="B3" s="3" t="inlineStr">
        <is>
          <t>Output (bits)</t>
        </is>
      </c>
      <c r="C3" s="3" t="inlineStr">
        <is>
          <t>Status</t>
        </is>
      </c>
    </row>
    <row r="4">
      <c r="A4" s="10" t="inlineStr">
        <is>
          <t>MD5</t>
        </is>
      </c>
      <c r="B4" s="11" t="n">
        <v>128</v>
      </c>
      <c r="C4" s="12" t="inlineStr">
        <is>
          <t>BROKEN — collisions found. Do NOT use for security.</t>
        </is>
      </c>
    </row>
    <row r="5">
      <c r="A5" s="10" t="inlineStr">
        <is>
          <t>SHA-1</t>
        </is>
      </c>
      <c r="B5" s="11" t="n">
        <v>160</v>
      </c>
      <c r="C5" s="12" t="inlineStr">
        <is>
          <t>DEPRECATED — collision demonstrated by Google (2017).</t>
        </is>
      </c>
    </row>
    <row r="6">
      <c r="A6" s="10" t="inlineStr">
        <is>
          <t>SHA-224</t>
        </is>
      </c>
      <c r="B6" s="11" t="n">
        <v>224</v>
      </c>
      <c r="C6" s="12" t="inlineStr">
        <is>
          <t>Current — truncated SHA-256.</t>
        </is>
      </c>
    </row>
    <row r="7">
      <c r="A7" s="10" t="inlineStr">
        <is>
          <t>SHA-256</t>
        </is>
      </c>
      <c r="B7" s="11" t="n">
        <v>256</v>
      </c>
      <c r="C7" s="12" t="inlineStr">
        <is>
          <t>CURRENT STANDARD — widely used (TLS, Bitcoin, etc.)</t>
        </is>
      </c>
    </row>
    <row r="8">
      <c r="A8" s="10" t="inlineStr">
        <is>
          <t>SHA-384</t>
        </is>
      </c>
      <c r="B8" s="11" t="n">
        <v>384</v>
      </c>
      <c r="C8" s="12" t="inlineStr">
        <is>
          <t>Current — truncated SHA-512.</t>
        </is>
      </c>
    </row>
    <row r="9">
      <c r="A9" s="10" t="inlineStr">
        <is>
          <t>SHA-512</t>
        </is>
      </c>
      <c r="B9" s="11" t="n">
        <v>512</v>
      </c>
      <c r="C9" s="12" t="inlineStr">
        <is>
          <t>Current — used for high-security applications.</t>
        </is>
      </c>
    </row>
    <row r="10">
      <c r="A10" s="10" t="inlineStr">
        <is>
          <t>SHA-3 (Keccak)</t>
        </is>
      </c>
      <c r="B10" s="11" t="inlineStr">
        <is>
          <t>224-512</t>
        </is>
      </c>
      <c r="C10" s="12" t="inlineStr">
        <is>
          <t>CURRENT — different design (sponge construction). NIST backup.</t>
        </is>
      </c>
    </row>
    <row r="11">
      <c r="A11" s="10" t="inlineStr">
        <is>
          <t>RIPEMD-160</t>
        </is>
      </c>
      <c r="B11" s="11" t="n">
        <v>160</v>
      </c>
      <c r="C11" s="12" t="inlineStr">
        <is>
          <t>Older alternative. Used in Bitcoin address generation.</t>
        </is>
      </c>
    </row>
    <row r="12">
      <c r="A12" s="10" t="inlineStr">
        <is>
          <t>HMAC-SHA256</t>
        </is>
      </c>
      <c r="B12" s="11" t="n">
        <v>256</v>
      </c>
      <c r="C12" s="12" t="inlineStr">
        <is>
          <t>Keyed hash. Integrity + Authentication. NOT confidentiality.</t>
        </is>
      </c>
    </row>
    <row r="14">
      <c r="A14" s="6" t="inlineStr">
        <is>
          <t>HMAC FORMULA</t>
        </is>
      </c>
    </row>
    <row r="15">
      <c r="A15" s="2" t="inlineStr">
        <is>
          <t>HMAC(K, m) = H((K' ⊕ opad) || H((K' ⊕ ipad) || m))</t>
        </is>
      </c>
    </row>
    <row r="16">
      <c r="A16" s="2" t="inlineStr">
        <is>
          <t>Where K' = key (padded), opad = 0x5c repeated, ipad = 0x36 repeated</t>
        </is>
      </c>
    </row>
    <row r="17">
      <c r="A17" s="2" t="inlineStr">
        <is>
          <t>Provides: INTEGRITY (message not tampered) + AUTHENTICATION (from someone with key)</t>
        </is>
      </c>
    </row>
    <row r="18">
      <c r="A18" s="2" t="inlineStr">
        <is>
          <t>Does NOT provide: CONFIDENTIALITY (message is not encrypted, just authenticated)</t>
        </is>
      </c>
    </row>
    <row r="20">
      <c r="A20" s="13" t="inlineStr">
        <is>
          <t>KEY STRETCHING</t>
        </is>
      </c>
    </row>
    <row r="21">
      <c r="A21" s="3" t="inlineStr">
        <is>
          <t>PBKDF2 iterations</t>
        </is>
      </c>
      <c r="B21" s="4" t="n">
        <v>100000</v>
      </c>
      <c r="C21" s="2" t="inlineStr">
        <is>
          <t>More iterations = slower = more secure. NIST recommends ≥100,000</t>
        </is>
      </c>
    </row>
    <row r="22">
      <c r="A22" s="3" t="inlineStr">
        <is>
          <t>bcrypt cost factor</t>
        </is>
      </c>
      <c r="B22" s="4" t="n">
        <v>12</v>
      </c>
      <c r="C22" s="2" t="inlineStr">
        <is>
          <t>2^cost = iterations. 12 = 4,096 rounds. Increase over time.</t>
        </is>
      </c>
    </row>
    <row r="23">
      <c r="A23" s="3" t="inlineStr">
        <is>
          <t>bcrypt iterations</t>
        </is>
      </c>
      <c r="B23" s="5">
        <f>POWER(2,B22)</f>
        <v/>
      </c>
      <c r="C23" s="2" t="inlineStr">
        <is>
          <t>Deliberately slow — that's the feature, not a bug</t>
        </is>
      </c>
    </row>
    <row r="25">
      <c r="A25" s="8" t="inlineStr">
        <is>
          <t>SALT + HASH EXAMPLE</t>
        </is>
      </c>
    </row>
    <row r="26">
      <c r="A26" s="2" t="inlineStr">
        <is>
          <t>Without salt: password123 → 482c811da...  (same hash every time = rainbow table vulnerable)</t>
        </is>
      </c>
    </row>
    <row r="27">
      <c r="A27" s="2" t="inlineStr">
        <is>
          <t>With salt:    "x7k2" + password123 → a3f91b2e...  (unique per user, even if same password)</t>
        </is>
      </c>
    </row>
    <row r="28">
      <c r="A28" s="2" t="inlineStr">
        <is>
          <t>Salt stored alongside hash in DB. Not secret, just unique. Each user gets different salt.</t>
        </is>
      </c>
    </row>
  </sheetData>
  <mergeCells count="11">
    <mergeCell ref="A25:C25"/>
    <mergeCell ref="A28:C28"/>
    <mergeCell ref="A26:C26"/>
    <mergeCell ref="A1:C1"/>
    <mergeCell ref="A14:C14"/>
    <mergeCell ref="A17:C17"/>
    <mergeCell ref="A18:C18"/>
    <mergeCell ref="A27:C27"/>
    <mergeCell ref="A15:C15"/>
    <mergeCell ref="A20:C20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8" t="inlineStr">
        <is>
          <t>ZKP CHEATING PROBABILITY</t>
        </is>
      </c>
    </row>
    <row r="2">
      <c r="A2" s="2" t="inlineStr">
        <is>
          <t>After n rounds, probability of cheating = 1/2^n</t>
        </is>
      </c>
    </row>
    <row r="3">
      <c r="A3" s="3" t="inlineStr">
        <is>
          <t>Rounds (n)</t>
        </is>
      </c>
      <c r="B3" s="3" t="inlineStr">
        <is>
          <t>Cheating Prob</t>
        </is>
      </c>
      <c r="C3" s="3" t="inlineStr">
        <is>
          <t>Interpretation</t>
        </is>
      </c>
    </row>
    <row r="4">
      <c r="A4" s="11" t="n">
        <v>1</v>
      </c>
      <c r="B4" s="14">
        <f>1/POWER(2,A4)</f>
        <v/>
      </c>
      <c r="C4" s="2" t="inlineStr">
        <is>
          <t>50% — coin flip</t>
        </is>
      </c>
    </row>
    <row r="5">
      <c r="A5" s="11" t="n">
        <v>5</v>
      </c>
      <c r="B5" s="14">
        <f>1/POWER(2,A5)</f>
        <v/>
      </c>
      <c r="C5" s="2" t="inlineStr">
        <is>
          <t>3.1% — getting unlikely</t>
        </is>
      </c>
    </row>
    <row r="6">
      <c r="A6" s="11" t="n">
        <v>10</v>
      </c>
      <c r="B6" s="14">
        <f>1/POWER(2,A6)</f>
        <v/>
      </c>
      <c r="C6" s="2" t="inlineStr">
        <is>
          <t>0.098% — very unlikely</t>
        </is>
      </c>
    </row>
    <row r="7">
      <c r="A7" s="11" t="n">
        <v>20</v>
      </c>
      <c r="B7" s="14">
        <f>1/POWER(2,A7)</f>
        <v/>
      </c>
      <c r="C7" s="2" t="inlineStr">
        <is>
          <t>0.000095% — negligible</t>
        </is>
      </c>
    </row>
    <row r="8">
      <c r="A8" s="11" t="n">
        <v>30</v>
      </c>
      <c r="B8" s="14">
        <f>1/POWER(2,A8)</f>
        <v/>
      </c>
      <c r="C8" s="2" t="inlineStr">
        <is>
          <t>~1 in a billion</t>
        </is>
      </c>
    </row>
    <row r="9">
      <c r="A9" s="11" t="n">
        <v>40</v>
      </c>
      <c r="B9" s="14">
        <f>1/POWER(2,A9)</f>
        <v/>
      </c>
      <c r="C9" s="2" t="inlineStr">
        <is>
          <t>~1 in a trillion</t>
        </is>
      </c>
    </row>
    <row r="10">
      <c r="A10" s="11" t="n">
        <v>80</v>
      </c>
      <c r="B10" s="14">
        <f>1/POWER(2,A10)</f>
        <v/>
      </c>
      <c r="C10" s="2" t="inlineStr">
        <is>
          <t>Computationally impossible</t>
        </is>
      </c>
    </row>
    <row r="11">
      <c r="A11" s="11" t="n">
        <v>128</v>
      </c>
      <c r="B11" s="14">
        <f>1/POWER(2,A11)</f>
        <v/>
      </c>
      <c r="C11" s="2" t="inlineStr">
        <is>
          <t>AES-128 equivalent security</t>
        </is>
      </c>
    </row>
    <row r="13">
      <c r="A13" s="9" t="inlineStr">
        <is>
          <t>SNARKs vs STARKs COMPARISON</t>
        </is>
      </c>
    </row>
    <row r="14">
      <c r="A14" s="3" t="inlineStr">
        <is>
          <t>Property</t>
        </is>
      </c>
      <c r="B14" s="3" t="inlineStr">
        <is>
          <t>zk-SNARKs</t>
        </is>
      </c>
      <c r="C14" s="3" t="inlineStr">
        <is>
          <t>zk-STARKs</t>
        </is>
      </c>
    </row>
    <row r="15">
      <c r="A15" s="10" t="inlineStr">
        <is>
          <t>Full Name</t>
        </is>
      </c>
      <c r="B15" s="11" t="inlineStr">
        <is>
          <t>Succinct Non-interactive ARgument of Knowledge</t>
        </is>
      </c>
      <c r="C15" s="11" t="inlineStr">
        <is>
          <t>Scalable Transparent ARgument of Knowledge</t>
        </is>
      </c>
    </row>
    <row r="16">
      <c r="A16" s="10" t="inlineStr">
        <is>
          <t>Trusted Setup</t>
        </is>
      </c>
      <c r="B16" s="11" t="inlineStr">
        <is>
          <t>YES — vulnerability if compromised</t>
        </is>
      </c>
      <c r="C16" s="11" t="inlineStr">
        <is>
          <t>NO — transparent (public randomness)</t>
        </is>
      </c>
    </row>
    <row r="17">
      <c r="A17" s="10" t="inlineStr">
        <is>
          <t>Crypto Basis</t>
        </is>
      </c>
      <c r="B17" s="11" t="inlineStr">
        <is>
          <t>Elliptic curves &amp; pairings</t>
        </is>
      </c>
      <c r="C17" s="11" t="inlineStr">
        <is>
          <t>Hash functions (collision-resistant)</t>
        </is>
      </c>
    </row>
    <row r="18">
      <c r="A18" s="10" t="inlineStr">
        <is>
          <t>Quantum Safe</t>
        </is>
      </c>
      <c r="B18" s="11" t="inlineStr">
        <is>
          <t>NO — Shor's algorithm breaks ECC</t>
        </is>
      </c>
      <c r="C18" s="11" t="inlineStr">
        <is>
          <t>YES — hash-based, Grover's doesn't break</t>
        </is>
      </c>
    </row>
    <row r="19">
      <c r="A19" s="10" t="inlineStr">
        <is>
          <t>Proof Size</t>
        </is>
      </c>
      <c r="B19" s="11" t="inlineStr">
        <is>
          <t>~100s of bytes (very small)</t>
        </is>
      </c>
      <c r="C19" s="11" t="inlineStr">
        <is>
          <t>~100s of kilobytes (larger)</t>
        </is>
      </c>
    </row>
    <row r="20">
      <c r="A20" s="10" t="inlineStr">
        <is>
          <t>Verify Speed</t>
        </is>
      </c>
      <c r="B20" s="11" t="inlineStr">
        <is>
          <t>~10ms (very fast)</t>
        </is>
      </c>
      <c r="C20" s="11" t="inlineStr">
        <is>
          <t>50-100ms (fast but slower)</t>
        </is>
      </c>
    </row>
    <row r="21">
      <c r="A21" s="10" t="inlineStr">
        <is>
          <t>Prover Speed</t>
        </is>
      </c>
      <c r="B21" s="11" t="inlineStr">
        <is>
          <t>Baseline</t>
        </is>
      </c>
      <c r="C21" s="11" t="inlineStr">
        <is>
          <t>~10x faster as computation grows</t>
        </is>
      </c>
    </row>
    <row r="22">
      <c r="A22" s="10" t="inlineStr">
        <is>
          <t>Comm. Complexity</t>
        </is>
      </c>
      <c r="B22" s="11" t="inlineStr">
        <is>
          <t>Linear growth</t>
        </is>
      </c>
      <c r="C22" s="11" t="inlineStr">
        <is>
          <t>Polylogarithmic growth (major advantage)</t>
        </is>
      </c>
    </row>
    <row r="23">
      <c r="A23" s="10" t="inlineStr">
        <is>
          <t>Scalability</t>
        </is>
      </c>
      <c r="B23" s="11" t="inlineStr">
        <is>
          <t>Less scalable for large proofs</t>
        </is>
      </c>
      <c r="C23" s="11" t="inlineStr">
        <is>
          <t>Highly scalable</t>
        </is>
      </c>
    </row>
    <row r="24">
      <c r="A24" s="10" t="inlineStr">
        <is>
          <t>Maturity</t>
        </is>
      </c>
      <c r="B24" s="11" t="inlineStr">
        <is>
          <t>More mature, widely adopted (Zcash)</t>
        </is>
      </c>
      <c r="C24" s="11" t="inlineStr">
        <is>
          <t>Newer, still maturing (Starkware)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13" t="inlineStr">
        <is>
          <t>MODULAR ARITHMETIC PRACTICE</t>
        </is>
      </c>
    </row>
    <row r="2">
      <c r="A2" s="2" t="inlineStr">
        <is>
          <t>a mod n = remainder when a is divided by n. Excel: =MOD(a, n)</t>
        </is>
      </c>
    </row>
    <row r="3">
      <c r="A3" s="3" t="inlineStr">
        <is>
          <t>a</t>
        </is>
      </c>
      <c r="B3" s="3" t="inlineStr">
        <is>
          <t>n</t>
        </is>
      </c>
      <c r="C3" s="3" t="inlineStr">
        <is>
          <t>a mod n = MOD(a, n)</t>
        </is>
      </c>
    </row>
    <row r="4">
      <c r="A4" s="4" t="n">
        <v>17</v>
      </c>
      <c r="B4" s="4" t="n">
        <v>5</v>
      </c>
      <c r="C4" s="5">
        <f>MOD(A4,B4)</f>
        <v/>
      </c>
    </row>
    <row r="5">
      <c r="A5" s="4" t="n">
        <v>25</v>
      </c>
      <c r="B5" s="4" t="n">
        <v>7</v>
      </c>
      <c r="C5" s="5">
        <f>MOD(A5,B5)</f>
        <v/>
      </c>
    </row>
    <row r="6">
      <c r="A6" s="4" t="n">
        <v>100</v>
      </c>
      <c r="B6" s="4" t="n">
        <v>26</v>
      </c>
      <c r="C6" s="5">
        <f>MOD(A6,B6)</f>
        <v/>
      </c>
    </row>
    <row r="7">
      <c r="A7" s="4" t="n">
        <v>256</v>
      </c>
      <c r="B7" s="4" t="n">
        <v>10</v>
      </c>
      <c r="C7" s="5">
        <f>MOD(A7,B7)</f>
        <v/>
      </c>
    </row>
    <row r="8">
      <c r="A8" s="4" t="n">
        <v>1000</v>
      </c>
      <c r="B8" s="4" t="n">
        <v>37</v>
      </c>
      <c r="C8" s="5">
        <f>MOD(A8,B8)</f>
        <v/>
      </c>
    </row>
    <row r="9">
      <c r="A9" s="4" t="n">
        <v>65</v>
      </c>
      <c r="B9" s="4" t="n">
        <v>26</v>
      </c>
      <c r="C9" s="5">
        <f>MOD(A9,B9)</f>
        <v/>
      </c>
    </row>
    <row r="11">
      <c r="A11" s="15" t="inlineStr">
        <is>
          <t>XOR TRUTH TABLE</t>
        </is>
      </c>
    </row>
    <row r="12">
      <c r="A12" s="3" t="inlineStr">
        <is>
          <t>A</t>
        </is>
      </c>
      <c r="B12" s="3" t="inlineStr">
        <is>
          <t>B</t>
        </is>
      </c>
      <c r="C12" s="3" t="inlineStr">
        <is>
          <t>A ⊕ B (XOR)</t>
        </is>
      </c>
    </row>
    <row r="13">
      <c r="A13" s="11" t="n">
        <v>0</v>
      </c>
      <c r="B13" s="11" t="n">
        <v>0</v>
      </c>
      <c r="C13" s="5">
        <f>IF(A13=B13,0,1)</f>
        <v/>
      </c>
    </row>
    <row r="14">
      <c r="A14" s="11" t="n">
        <v>0</v>
      </c>
      <c r="B14" s="11" t="n">
        <v>1</v>
      </c>
      <c r="C14" s="5">
        <f>IF(A14=B14,0,1)</f>
        <v/>
      </c>
    </row>
    <row r="15">
      <c r="A15" s="11" t="n">
        <v>1</v>
      </c>
      <c r="B15" s="11" t="n">
        <v>0</v>
      </c>
      <c r="C15" s="5">
        <f>IF(A15=B15,0,1)</f>
        <v/>
      </c>
    </row>
    <row r="16">
      <c r="A16" s="11" t="n">
        <v>1</v>
      </c>
      <c r="B16" s="11" t="n">
        <v>1</v>
      </c>
      <c r="C16" s="5">
        <f>IF(A16=B16,0,1)</f>
        <v/>
      </c>
    </row>
    <row r="17">
      <c r="A17" s="2" t="inlineStr">
        <is>
          <t>Key property: A ⊕ B ⊕ B = A (XOR is its own inverse — used in OTP, stream ciphers, CBC)</t>
        </is>
      </c>
    </row>
    <row r="19">
      <c r="A19" s="8" t="inlineStr">
        <is>
          <t>GCD — GREATEST COMMON DIVISOR</t>
        </is>
      </c>
    </row>
    <row r="20">
      <c r="A20" s="2" t="inlineStr">
        <is>
          <t>GCD(a,b) = largest number that divides both. Critical for RSA: GCD(e, φ(n)) must = 1</t>
        </is>
      </c>
    </row>
    <row r="21">
      <c r="A21" s="3" t="inlineStr">
        <is>
          <t>a</t>
        </is>
      </c>
      <c r="B21" s="3" t="inlineStr">
        <is>
          <t>b</t>
        </is>
      </c>
      <c r="C21" s="3" t="inlineStr">
        <is>
          <t>GCD(a, b)</t>
        </is>
      </c>
    </row>
    <row r="22">
      <c r="A22" s="4" t="n">
        <v>17</v>
      </c>
      <c r="B22" s="4" t="n">
        <v>3120</v>
      </c>
      <c r="C22" s="5">
        <f>GCD(A22,B22)</f>
        <v/>
      </c>
    </row>
    <row r="23">
      <c r="A23" s="4" t="n">
        <v>65537</v>
      </c>
      <c r="B23" s="4" t="n">
        <v>3120</v>
      </c>
      <c r="C23" s="5">
        <f>GCD(A23,B23)</f>
        <v/>
      </c>
    </row>
    <row r="24">
      <c r="A24" s="4" t="n">
        <v>15</v>
      </c>
      <c r="B24" s="4" t="n">
        <v>3120</v>
      </c>
      <c r="C24" s="5">
        <f>GCD(A24,B24)</f>
        <v/>
      </c>
    </row>
    <row r="25">
      <c r="A25" s="4" t="n">
        <v>7</v>
      </c>
      <c r="B25" s="4" t="n">
        <v>3120</v>
      </c>
      <c r="C25" s="5">
        <f>GCD(A25,B25)</f>
        <v/>
      </c>
    </row>
    <row r="26">
      <c r="A26" s="2" t="inlineStr">
        <is>
          <t>If GCD = 1, the numbers are COPRIME (required for RSA e selection)</t>
        </is>
      </c>
    </row>
    <row r="28">
      <c r="A28" s="6" t="inlineStr">
        <is>
          <t>POWER MOD — Modular Exponentiation</t>
        </is>
      </c>
    </row>
    <row r="29">
      <c r="A29" s="2" t="inlineStr">
        <is>
          <t>base^exp mod n. Excel: =MOD(POWER(base, exp), n). Core of RSA &amp; DH.</t>
        </is>
      </c>
    </row>
    <row r="30">
      <c r="A30" s="3" t="inlineStr">
        <is>
          <t>base</t>
        </is>
      </c>
      <c r="B30" s="3" t="inlineStr">
        <is>
          <t>exponent</t>
        </is>
      </c>
      <c r="C30" s="3" t="inlineStr">
        <is>
          <t>modulus → result</t>
        </is>
      </c>
    </row>
    <row r="31">
      <c r="A31" s="4" t="n">
        <v>5</v>
      </c>
      <c r="B31" s="4" t="n">
        <v>6</v>
      </c>
      <c r="C31" s="2" t="inlineStr">
        <is>
          <t>mod 23: =MOD(POWER(5,6),23)  [DH: g^a mod p]</t>
        </is>
      </c>
    </row>
    <row r="32">
      <c r="A32" s="4" t="n">
        <v>5</v>
      </c>
      <c r="B32" s="4" t="n">
        <v>15</v>
      </c>
      <c r="C32" s="2" t="inlineStr">
        <is>
          <t>mod 23: =MOD(POWER(5,15),23)  [DH: g^b mod p]</t>
        </is>
      </c>
    </row>
    <row r="33">
      <c r="A33" s="4" t="n">
        <v>8</v>
      </c>
      <c r="B33" s="4" t="n">
        <v>6</v>
      </c>
      <c r="C33" s="2" t="inlineStr">
        <is>
          <t>mod 23: =MOD(POWER(8,6),23)  [DH: B^a mod p]</t>
        </is>
      </c>
    </row>
    <row r="34">
      <c r="A34" s="4" t="n">
        <v>65</v>
      </c>
      <c r="B34" s="4" t="n">
        <v>17</v>
      </c>
      <c r="C34" s="2" t="inlineStr">
        <is>
          <t>mod 3233: =MOD(POWER(65,17),3233)  [RSA: m^e mod n]</t>
        </is>
      </c>
    </row>
  </sheetData>
  <mergeCells count="13">
    <mergeCell ref="C31"/>
    <mergeCell ref="A28:C28"/>
    <mergeCell ref="A19:C19"/>
    <mergeCell ref="A11:C11"/>
    <mergeCell ref="A1:C1"/>
    <mergeCell ref="C34"/>
    <mergeCell ref="A17:C17"/>
    <mergeCell ref="C33"/>
    <mergeCell ref="C32"/>
    <mergeCell ref="A26:C26"/>
    <mergeCell ref="A20:C20"/>
    <mergeCell ref="A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2026-06-23T06:03:50Z</dcterms:created>
  <dcterms:modified xsi:type="dcterms:W3CDTF">2026-06-23T06:03:50Z</dcterms:modified>
</cp:coreProperties>
</file>